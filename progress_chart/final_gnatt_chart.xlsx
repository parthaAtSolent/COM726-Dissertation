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th\OneDrive - Southampton Solent University\COM726 - Dissertation\charts\"/>
    </mc:Choice>
  </mc:AlternateContent>
  <xr:revisionPtr revIDLastSave="0" documentId="13_ncr:1_{3828E78B-162D-4A93-9F94-CC16F53F3465}" xr6:coauthVersionLast="47" xr6:coauthVersionMax="47" xr10:uidLastSave="{00000000-0000-0000-0000-000000000000}"/>
  <bookViews>
    <workbookView xWindow="-93" yWindow="-93" windowWidth="25786" windowHeight="161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B18" i="1"/>
  <c r="B16" i="1"/>
  <c r="B13" i="1"/>
  <c r="C31" i="1"/>
  <c r="C32" i="1"/>
  <c r="C33" i="1"/>
  <c r="C34" i="1"/>
  <c r="C30" i="1"/>
  <c r="C25" i="1"/>
  <c r="C26" i="1"/>
  <c r="C27" i="1"/>
  <c r="D27" i="1" s="1"/>
  <c r="B25" i="1"/>
  <c r="B26" i="1"/>
  <c r="B27" i="1"/>
  <c r="B22" i="1"/>
  <c r="C23" i="1"/>
  <c r="C24" i="1"/>
  <c r="C28" i="1"/>
  <c r="C22" i="1"/>
  <c r="B31" i="1"/>
  <c r="B32" i="1"/>
  <c r="B33" i="1"/>
  <c r="B34" i="1"/>
  <c r="B30" i="1"/>
  <c r="B23" i="1"/>
  <c r="B24" i="1"/>
  <c r="B28" i="1"/>
  <c r="B14" i="1"/>
  <c r="H10" i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B5" i="1"/>
  <c r="B6" i="1" s="1"/>
  <c r="D21" i="1"/>
  <c r="D29" i="1"/>
  <c r="C19" i="1" l="1"/>
  <c r="C16" i="1"/>
  <c r="D16" i="1" s="1"/>
  <c r="C15" i="1"/>
  <c r="D17" i="1"/>
  <c r="D26" i="1"/>
  <c r="D25" i="1"/>
  <c r="D19" i="1"/>
  <c r="D18" i="1"/>
  <c r="D13" i="1"/>
  <c r="D20" i="1"/>
  <c r="D28" i="1"/>
  <c r="D23" i="1"/>
  <c r="D24" i="1"/>
  <c r="D22" i="1"/>
  <c r="D34" i="1"/>
  <c r="D33" i="1"/>
  <c r="D32" i="1"/>
  <c r="D31" i="1"/>
  <c r="D30" i="1"/>
  <c r="D15" i="1"/>
  <c r="D14" i="1"/>
</calcChain>
</file>

<file path=xl/sharedStrings.xml><?xml version="1.0" encoding="utf-8"?>
<sst xmlns="http://schemas.openxmlformats.org/spreadsheetml/2006/main" count="58" uniqueCount="37">
  <si>
    <t>Task</t>
  </si>
  <si>
    <t>Start Date</t>
  </si>
  <si>
    <t>End Date</t>
  </si>
  <si>
    <t>Days</t>
  </si>
  <si>
    <t>Status</t>
  </si>
  <si>
    <t>Progress</t>
  </si>
  <si>
    <t>Execution Stage</t>
  </si>
  <si>
    <t>Review Stage</t>
  </si>
  <si>
    <t>Not Started</t>
  </si>
  <si>
    <t>In Progress</t>
  </si>
  <si>
    <t>Completed</t>
  </si>
  <si>
    <t>Project Start:</t>
  </si>
  <si>
    <t>Current Date:</t>
  </si>
  <si>
    <t>Weeks in Progress:</t>
  </si>
  <si>
    <t>Project End:</t>
  </si>
  <si>
    <t>Adaptive Multi-LLM Agentic RAG with Dynamic Task Routing and Retrieval Planning</t>
  </si>
  <si>
    <t>Literature Review</t>
  </si>
  <si>
    <t>Research and Planning Stage</t>
  </si>
  <si>
    <t>Dataset Selection</t>
  </si>
  <si>
    <t>Langchain Framework Fundamentals Learning</t>
  </si>
  <si>
    <t>RAG Fundamentals and Advanced Retrieval Techniques</t>
  </si>
  <si>
    <t>Single-LLM Baseline Prototype(No routing, no agent)</t>
  </si>
  <si>
    <t>Pilot Study Documentation</t>
  </si>
  <si>
    <t>Technology Stack Finalization</t>
  </si>
  <si>
    <t>SQLite Database Schema Design</t>
  </si>
  <si>
    <t>CRUD Operation for Chat Threads</t>
  </si>
  <si>
    <t>Conversation State Persistence</t>
  </si>
  <si>
    <t>Streamlit Basic UI Setup</t>
  </si>
  <si>
    <t>UI Polish and User Experience Improvements</t>
  </si>
  <si>
    <t>Langgraph Routing Node Implementation</t>
  </si>
  <si>
    <t>Multiple LLM Provider Integration (GROQ, OpenAI, etc.)</t>
  </si>
  <si>
    <t>Multi-hop Retreival Planning</t>
  </si>
  <si>
    <t>Evaluation Scripts Development</t>
  </si>
  <si>
    <t>Static RAG Pipeline Evaluation</t>
  </si>
  <si>
    <t>Full Agentic System Evaluation</t>
  </si>
  <si>
    <t>Multi-LLM Delegation Evaluation</t>
  </si>
  <si>
    <t>Hallucination Rate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</si>
</sst>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\W\k\ #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5" borderId="2" xfId="0" applyFill="1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5" borderId="1" xfId="0" applyFill="1" applyBorder="1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border>
        <left style="thin">
          <color rgb="FFFF0000"/>
        </left>
        <right style="thin">
          <color rgb="FFFF0000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840973</xdr:colOff>
      <xdr:row>0</xdr:row>
      <xdr:rowOff>33705</xdr:rowOff>
    </xdr:from>
    <xdr:to>
      <xdr:col>9</xdr:col>
      <xdr:colOff>876905</xdr:colOff>
      <xdr:row>8</xdr:row>
      <xdr:rowOff>139096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5" name="Add-in 4">
              <a:extLst>
                <a:ext uri="{FF2B5EF4-FFF2-40B4-BE49-F238E27FC236}">
                  <a16:creationId xmlns:a16="http://schemas.microsoft.com/office/drawing/2014/main" id="{F8AC1953-EF43-1E83-0D5A-3F7D92AD57CB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5" name="Add-in 4">
              <a:extLst>
                <a:ext uri="{FF2B5EF4-FFF2-40B4-BE49-F238E27FC236}">
                  <a16:creationId xmlns:a16="http://schemas.microsoft.com/office/drawing/2014/main" id="{F8AC1953-EF43-1E83-0D5A-3F7D92AD57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F8AC1953-EF43-1E83-0D5A-3F7D92AD57CB}">
  <we:reference id="wa102957665" version="1.3.0.0" store="en-US" storeType="OMEX"/>
  <we:alternateReferences>
    <we:reference id="WA102957665" version="1.3.0.0" store="" storeType="OMEX"/>
  </we:alternateReferences>
  <we:properties>
    <we:property name="opt_month" value="&quot;2026-02-01&quot;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C49"/>
  <sheetViews>
    <sheetView showGridLines="0" tabSelected="1" zoomScale="70" zoomScaleNormal="70" workbookViewId="0">
      <pane xSplit="7" ySplit="11" topLeftCell="H12" activePane="bottomRight" state="frozen"/>
      <selection pane="topRight" activeCell="H1" sqref="H1"/>
      <selection pane="bottomLeft" activeCell="A12" sqref="A12"/>
      <selection pane="bottomRight" activeCell="L28" sqref="L28"/>
    </sheetView>
  </sheetViews>
  <sheetFormatPr defaultColWidth="14.234375" defaultRowHeight="14.35" x14ac:dyDescent="0.5"/>
  <cols>
    <col min="1" max="1" width="18.41015625" style="1" customWidth="1"/>
    <col min="2" max="5" width="14.234375" style="1"/>
    <col min="6" max="6" width="18.1171875" style="1" customWidth="1"/>
    <col min="7" max="7" width="5.41015625" style="1" customWidth="1"/>
    <col min="8" max="16384" width="14.234375" style="1"/>
  </cols>
  <sheetData>
    <row r="2" spans="1:1901" ht="23.35" customHeight="1" x14ac:dyDescent="0.6">
      <c r="A2" s="32" t="s">
        <v>15</v>
      </c>
      <c r="B2" s="32"/>
      <c r="C2" s="32"/>
      <c r="D2" s="32"/>
      <c r="E2" s="32"/>
      <c r="F2" s="32"/>
    </row>
    <row r="3" spans="1:1901" x14ac:dyDescent="0.5">
      <c r="A3" s="18" t="s">
        <v>11</v>
      </c>
      <c r="B3" s="19">
        <v>46039</v>
      </c>
      <c r="C3" s="18"/>
      <c r="D3" s="18"/>
      <c r="E3" s="18"/>
      <c r="F3" s="18"/>
    </row>
    <row r="4" spans="1:1901" x14ac:dyDescent="0.5">
      <c r="A4" s="18" t="s">
        <v>14</v>
      </c>
      <c r="B4" s="19">
        <v>46144</v>
      </c>
      <c r="C4" s="18"/>
      <c r="D4" s="18"/>
      <c r="E4" s="18"/>
      <c r="F4" s="18"/>
    </row>
    <row r="5" spans="1:1901" x14ac:dyDescent="0.5">
      <c r="A5" s="18" t="s">
        <v>12</v>
      </c>
      <c r="B5" s="19">
        <f ca="1">TODAY()</f>
        <v>46064</v>
      </c>
      <c r="C5" s="18"/>
      <c r="D5" s="18"/>
      <c r="E5" s="18"/>
      <c r="F5" s="18"/>
    </row>
    <row r="6" spans="1:1901" x14ac:dyDescent="0.5">
      <c r="A6" s="18" t="s">
        <v>13</v>
      </c>
      <c r="B6" s="18">
        <f ca="1">ROUNDUP((B5-B3)/7,0)</f>
        <v>4</v>
      </c>
      <c r="C6" s="18"/>
      <c r="D6" s="18"/>
      <c r="E6" s="18"/>
      <c r="F6" s="18"/>
    </row>
    <row r="7" spans="1:1901" x14ac:dyDescent="0.5">
      <c r="K7" s="34"/>
    </row>
    <row r="10" spans="1:1901" x14ac:dyDescent="0.5">
      <c r="A10" s="2"/>
      <c r="B10" s="2"/>
      <c r="C10" s="2"/>
      <c r="D10" s="2"/>
      <c r="E10" s="2"/>
      <c r="F10" s="2"/>
      <c r="G10" s="2"/>
      <c r="H10" s="3">
        <f>B3</f>
        <v>46039</v>
      </c>
      <c r="I10" s="3">
        <f>H10+7</f>
        <v>46046</v>
      </c>
      <c r="J10" s="3">
        <f t="shared" ref="J10:W10" si="0">I10+7</f>
        <v>46053</v>
      </c>
      <c r="K10" s="3">
        <f t="shared" si="0"/>
        <v>46060</v>
      </c>
      <c r="L10" s="3">
        <f t="shared" si="0"/>
        <v>46067</v>
      </c>
      <c r="M10" s="3">
        <f t="shared" si="0"/>
        <v>46074</v>
      </c>
      <c r="N10" s="3">
        <f t="shared" si="0"/>
        <v>46081</v>
      </c>
      <c r="O10" s="3">
        <f t="shared" si="0"/>
        <v>46088</v>
      </c>
      <c r="P10" s="3">
        <f t="shared" si="0"/>
        <v>46095</v>
      </c>
      <c r="Q10" s="3">
        <f t="shared" si="0"/>
        <v>46102</v>
      </c>
      <c r="R10" s="3">
        <f t="shared" si="0"/>
        <v>46109</v>
      </c>
      <c r="S10" s="3">
        <f t="shared" si="0"/>
        <v>46116</v>
      </c>
      <c r="T10" s="3">
        <f t="shared" si="0"/>
        <v>46123</v>
      </c>
      <c r="U10" s="3">
        <f t="shared" si="0"/>
        <v>46130</v>
      </c>
      <c r="V10" s="3">
        <f t="shared" si="0"/>
        <v>46137</v>
      </c>
      <c r="W10" s="3">
        <f t="shared" si="0"/>
        <v>46144</v>
      </c>
      <c r="X10" s="16"/>
      <c r="Y10" s="16"/>
    </row>
    <row r="11" spans="1:1901" ht="18" x14ac:dyDescent="0.6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/>
      <c r="H11" s="5">
        <v>1</v>
      </c>
      <c r="I11" s="5">
        <v>2</v>
      </c>
      <c r="J11" s="5">
        <v>3</v>
      </c>
      <c r="K11" s="5">
        <v>4</v>
      </c>
      <c r="L11" s="5">
        <v>5</v>
      </c>
      <c r="M11" s="5">
        <v>6</v>
      </c>
      <c r="N11" s="5">
        <v>7</v>
      </c>
      <c r="O11" s="5">
        <v>8</v>
      </c>
      <c r="P11" s="5">
        <v>9</v>
      </c>
      <c r="Q11" s="5">
        <v>10</v>
      </c>
      <c r="R11" s="5">
        <v>11</v>
      </c>
      <c r="S11" s="5">
        <v>12</v>
      </c>
      <c r="T11" s="5">
        <v>13</v>
      </c>
      <c r="U11" s="5">
        <v>14</v>
      </c>
      <c r="V11" s="5">
        <v>15</v>
      </c>
      <c r="W11" s="5">
        <v>16</v>
      </c>
      <c r="X11" s="17"/>
      <c r="Y11" s="17"/>
    </row>
    <row r="12" spans="1:1901" s="7" customFormat="1" x14ac:dyDescent="0.5">
      <c r="A12" s="33" t="s">
        <v>17</v>
      </c>
      <c r="B12" s="33"/>
      <c r="C12" s="6"/>
      <c r="D12" s="6"/>
      <c r="E12" s="6"/>
      <c r="F12" s="6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</row>
    <row r="13" spans="1:1901" x14ac:dyDescent="0.5">
      <c r="A13" s="21" t="s">
        <v>16</v>
      </c>
      <c r="B13" s="9">
        <f>$B$3</f>
        <v>46039</v>
      </c>
      <c r="C13" s="9">
        <v>46056</v>
      </c>
      <c r="D13" s="8">
        <f>IF(C13="","",C13-B13)</f>
        <v>17</v>
      </c>
      <c r="E13" s="8" t="s">
        <v>10</v>
      </c>
      <c r="F13" s="10">
        <v>1</v>
      </c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1901" x14ac:dyDescent="0.5">
      <c r="A14" s="8" t="s">
        <v>18</v>
      </c>
      <c r="B14" s="9">
        <f>$B$3</f>
        <v>46039</v>
      </c>
      <c r="C14" s="9">
        <v>46048</v>
      </c>
      <c r="D14" s="8">
        <f t="shared" ref="D14:D34" si="1">IF(C14="","",C14-B14)</f>
        <v>9</v>
      </c>
      <c r="E14" s="8" t="s">
        <v>10</v>
      </c>
      <c r="F14" s="10">
        <v>1</v>
      </c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1901" ht="43" x14ac:dyDescent="0.5">
      <c r="A15" s="22" t="s">
        <v>19</v>
      </c>
      <c r="B15" s="24">
        <v>46042</v>
      </c>
      <c r="C15" s="24">
        <f ca="1">B5</f>
        <v>46064</v>
      </c>
      <c r="D15" s="23">
        <f t="shared" ca="1" si="1"/>
        <v>22</v>
      </c>
      <c r="E15" s="23" t="s">
        <v>9</v>
      </c>
      <c r="F15" s="25">
        <v>0.7</v>
      </c>
      <c r="G15" s="2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1901" ht="43" x14ac:dyDescent="0.5">
      <c r="A16" s="22" t="s">
        <v>20</v>
      </c>
      <c r="B16" s="24">
        <f>B15</f>
        <v>46042</v>
      </c>
      <c r="C16" s="24">
        <f ca="1">B5</f>
        <v>46064</v>
      </c>
      <c r="D16" s="23">
        <f t="shared" ca="1" si="1"/>
        <v>22</v>
      </c>
      <c r="E16" s="23" t="s">
        <v>9</v>
      </c>
      <c r="F16" s="25">
        <v>0.25</v>
      </c>
      <c r="G16" s="2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1901" ht="43" x14ac:dyDescent="0.5">
      <c r="A17" s="22" t="s">
        <v>21</v>
      </c>
      <c r="B17" s="24">
        <v>46047</v>
      </c>
      <c r="C17" s="24">
        <v>46063</v>
      </c>
      <c r="D17" s="23">
        <f t="shared" si="1"/>
        <v>16</v>
      </c>
      <c r="E17" s="23" t="s">
        <v>10</v>
      </c>
      <c r="F17" s="25">
        <v>1</v>
      </c>
      <c r="G17" s="2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1901" ht="28.7" x14ac:dyDescent="0.5">
      <c r="A18" s="22" t="s">
        <v>27</v>
      </c>
      <c r="B18" s="24">
        <f>B17</f>
        <v>46047</v>
      </c>
      <c r="C18" s="24">
        <f>C17</f>
        <v>46063</v>
      </c>
      <c r="D18" s="23">
        <f t="shared" si="1"/>
        <v>16</v>
      </c>
      <c r="E18" s="23" t="s">
        <v>10</v>
      </c>
      <c r="F18" s="25">
        <v>1</v>
      </c>
      <c r="G18" s="2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1901" ht="28.7" x14ac:dyDescent="0.5">
      <c r="A19" s="22" t="s">
        <v>22</v>
      </c>
      <c r="B19" s="24">
        <v>46054</v>
      </c>
      <c r="C19" s="24">
        <f ca="1">B5</f>
        <v>46064</v>
      </c>
      <c r="D19" s="23">
        <f t="shared" ca="1" si="1"/>
        <v>10</v>
      </c>
      <c r="E19" s="23" t="s">
        <v>9</v>
      </c>
      <c r="F19" s="25">
        <v>0.8</v>
      </c>
      <c r="G19" s="2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1901" ht="28.7" x14ac:dyDescent="0.5">
      <c r="A20" s="21" t="s">
        <v>23</v>
      </c>
      <c r="B20" s="24">
        <v>46054</v>
      </c>
      <c r="C20" s="24">
        <v>46065</v>
      </c>
      <c r="D20" s="23">
        <f t="shared" si="1"/>
        <v>11</v>
      </c>
      <c r="E20" s="23" t="s">
        <v>10</v>
      </c>
      <c r="F20" s="25">
        <v>0.8</v>
      </c>
      <c r="G20" s="2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1901" s="7" customFormat="1" x14ac:dyDescent="0.5">
      <c r="A21" s="20" t="s">
        <v>6</v>
      </c>
      <c r="B21" s="27"/>
      <c r="C21" s="27"/>
      <c r="D21" s="28" t="str">
        <f t="shared" si="1"/>
        <v/>
      </c>
      <c r="E21" s="28"/>
      <c r="F21" s="29"/>
      <c r="G21" s="30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</row>
    <row r="22" spans="1:1901" ht="28.7" x14ac:dyDescent="0.5">
      <c r="A22" s="22" t="s">
        <v>24</v>
      </c>
      <c r="B22" s="24">
        <f>$B$3</f>
        <v>46039</v>
      </c>
      <c r="C22" s="24">
        <f>$B$4</f>
        <v>46144</v>
      </c>
      <c r="D22" s="23">
        <f t="shared" si="1"/>
        <v>105</v>
      </c>
      <c r="E22" s="23" t="s">
        <v>8</v>
      </c>
      <c r="F22" s="25">
        <v>0</v>
      </c>
      <c r="G22" s="2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1901" ht="28.7" x14ac:dyDescent="0.5">
      <c r="A23" s="22" t="s">
        <v>25</v>
      </c>
      <c r="B23" s="24">
        <f>$B$3</f>
        <v>46039</v>
      </c>
      <c r="C23" s="24">
        <f>$B$4</f>
        <v>46144</v>
      </c>
      <c r="D23" s="23">
        <f t="shared" si="1"/>
        <v>105</v>
      </c>
      <c r="E23" s="23" t="s">
        <v>8</v>
      </c>
      <c r="F23" s="25">
        <v>0</v>
      </c>
      <c r="G23" s="2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1901" ht="28.7" x14ac:dyDescent="0.5">
      <c r="A24" s="22" t="s">
        <v>26</v>
      </c>
      <c r="B24" s="24">
        <f>$B$3</f>
        <v>46039</v>
      </c>
      <c r="C24" s="24">
        <f>$B$4</f>
        <v>46144</v>
      </c>
      <c r="D24" s="23">
        <f t="shared" si="1"/>
        <v>105</v>
      </c>
      <c r="E24" s="23" t="s">
        <v>8</v>
      </c>
      <c r="F24" s="25">
        <v>0</v>
      </c>
      <c r="G24" s="2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1901" ht="28.7" x14ac:dyDescent="0.5">
      <c r="A25" s="22" t="s">
        <v>29</v>
      </c>
      <c r="B25" s="24">
        <f t="shared" ref="B25:B27" si="2">$B$3</f>
        <v>46039</v>
      </c>
      <c r="C25" s="24">
        <f t="shared" ref="C25:C27" si="3">$B$4</f>
        <v>46144</v>
      </c>
      <c r="D25" s="23">
        <f t="shared" si="1"/>
        <v>105</v>
      </c>
      <c r="E25" s="23" t="s">
        <v>8</v>
      </c>
      <c r="F25" s="25">
        <v>0</v>
      </c>
      <c r="G25" s="2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1901" ht="43" x14ac:dyDescent="0.5">
      <c r="A26" s="22" t="s">
        <v>30</v>
      </c>
      <c r="B26" s="24">
        <f t="shared" si="2"/>
        <v>46039</v>
      </c>
      <c r="C26" s="24">
        <f t="shared" si="3"/>
        <v>46144</v>
      </c>
      <c r="D26" s="23">
        <f t="shared" si="1"/>
        <v>105</v>
      </c>
      <c r="E26" s="23" t="s">
        <v>8</v>
      </c>
      <c r="F26" s="25">
        <v>0</v>
      </c>
      <c r="G26" s="2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1901" ht="28.7" x14ac:dyDescent="0.5">
      <c r="A27" s="22" t="s">
        <v>31</v>
      </c>
      <c r="B27" s="24">
        <f t="shared" si="2"/>
        <v>46039</v>
      </c>
      <c r="C27" s="24">
        <f t="shared" si="3"/>
        <v>46144</v>
      </c>
      <c r="D27" s="23">
        <f t="shared" si="1"/>
        <v>105</v>
      </c>
      <c r="E27" s="23" t="s">
        <v>8</v>
      </c>
      <c r="F27" s="25">
        <v>0</v>
      </c>
      <c r="G27" s="2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1901" ht="43" x14ac:dyDescent="0.5">
      <c r="A28" s="22" t="s">
        <v>28</v>
      </c>
      <c r="B28" s="24">
        <f>$B$3</f>
        <v>46039</v>
      </c>
      <c r="C28" s="24">
        <f>$B$4</f>
        <v>46144</v>
      </c>
      <c r="D28" s="23">
        <f t="shared" si="1"/>
        <v>105</v>
      </c>
      <c r="E28" s="23" t="s">
        <v>8</v>
      </c>
      <c r="F28" s="25">
        <v>0</v>
      </c>
      <c r="G28" s="2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1901" s="7" customFormat="1" x14ac:dyDescent="0.5">
      <c r="A29" s="20" t="s">
        <v>7</v>
      </c>
      <c r="B29" s="27"/>
      <c r="C29" s="27"/>
      <c r="D29" s="28" t="str">
        <f t="shared" si="1"/>
        <v/>
      </c>
      <c r="E29" s="28"/>
      <c r="F29" s="29"/>
      <c r="G29" s="30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</row>
    <row r="30" spans="1:1901" ht="28.7" x14ac:dyDescent="0.5">
      <c r="A30" s="22" t="s">
        <v>32</v>
      </c>
      <c r="B30" s="24">
        <f>$B$3</f>
        <v>46039</v>
      </c>
      <c r="C30" s="24">
        <f>$B$4</f>
        <v>46144</v>
      </c>
      <c r="D30" s="23">
        <f t="shared" si="1"/>
        <v>105</v>
      </c>
      <c r="E30" s="23" t="s">
        <v>8</v>
      </c>
      <c r="F30" s="25">
        <v>0</v>
      </c>
      <c r="G30" s="2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1901" ht="28.7" x14ac:dyDescent="0.5">
      <c r="A31" s="22" t="s">
        <v>33</v>
      </c>
      <c r="B31" s="24">
        <f>$B$3</f>
        <v>46039</v>
      </c>
      <c r="C31" s="24">
        <f t="shared" ref="C31:C34" si="4">$B$4</f>
        <v>46144</v>
      </c>
      <c r="D31" s="23">
        <f t="shared" si="1"/>
        <v>105</v>
      </c>
      <c r="E31" s="23" t="s">
        <v>8</v>
      </c>
      <c r="F31" s="25">
        <v>0</v>
      </c>
      <c r="G31" s="2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1901" ht="28.7" x14ac:dyDescent="0.5">
      <c r="A32" s="22" t="s">
        <v>34</v>
      </c>
      <c r="B32" s="24">
        <f>$B$3</f>
        <v>46039</v>
      </c>
      <c r="C32" s="24">
        <f t="shared" si="4"/>
        <v>46144</v>
      </c>
      <c r="D32" s="23">
        <f t="shared" si="1"/>
        <v>105</v>
      </c>
      <c r="E32" s="23" t="s">
        <v>8</v>
      </c>
      <c r="F32" s="25">
        <v>0</v>
      </c>
      <c r="G32" s="2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28.7" x14ac:dyDescent="0.5">
      <c r="A33" s="22" t="s">
        <v>35</v>
      </c>
      <c r="B33" s="24">
        <f>$B$3</f>
        <v>46039</v>
      </c>
      <c r="C33" s="24">
        <f t="shared" si="4"/>
        <v>46144</v>
      </c>
      <c r="D33" s="23">
        <f t="shared" si="1"/>
        <v>105</v>
      </c>
      <c r="E33" s="23" t="s">
        <v>8</v>
      </c>
      <c r="F33" s="25">
        <v>0</v>
      </c>
      <c r="G33" s="2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28.7" x14ac:dyDescent="0.5">
      <c r="A34" s="22" t="s">
        <v>36</v>
      </c>
      <c r="B34" s="24">
        <f>$B$3</f>
        <v>46039</v>
      </c>
      <c r="C34" s="24">
        <f t="shared" si="4"/>
        <v>46144</v>
      </c>
      <c r="D34" s="31">
        <f t="shared" si="1"/>
        <v>105</v>
      </c>
      <c r="E34" s="31" t="s">
        <v>8</v>
      </c>
      <c r="F34" s="25">
        <v>0</v>
      </c>
      <c r="G34" s="2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6.35" customHeight="1" x14ac:dyDescent="0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46" spans="1:23" x14ac:dyDescent="0.5">
      <c r="A46" s="14" t="s">
        <v>4</v>
      </c>
    </row>
    <row r="47" spans="1:23" x14ac:dyDescent="0.5">
      <c r="A47" s="15" t="s">
        <v>8</v>
      </c>
    </row>
    <row r="48" spans="1:23" x14ac:dyDescent="0.5">
      <c r="A48" s="15" t="s">
        <v>9</v>
      </c>
    </row>
    <row r="49" spans="1:1" x14ac:dyDescent="0.5">
      <c r="A49" s="15" t="s">
        <v>10</v>
      </c>
    </row>
  </sheetData>
  <mergeCells count="2">
    <mergeCell ref="A2:F2"/>
    <mergeCell ref="A12:B12"/>
  </mergeCells>
  <phoneticPr fontId="1" type="noConversion"/>
  <conditionalFormatting sqref="F13:G34">
    <cfRule type="dataBar" priority="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{E62B774A-880A-4E0B-B251-E2B3E6FA1B70}</x14:id>
        </ext>
      </extLst>
    </cfRule>
  </conditionalFormatting>
  <conditionalFormatting sqref="H13:W34">
    <cfRule type="expression" dxfId="2" priority="1">
      <formula>H$11=$B$6</formula>
    </cfRule>
    <cfRule type="expression" dxfId="1" priority="2">
      <formula>AND(H$10&gt;=$B13, H$10&lt;=$B13+($C13-$B13+1)*$F13-1)</formula>
    </cfRule>
    <cfRule type="expression" dxfId="0" priority="5">
      <formula>AND(H$10&gt;=$B13,H$10&lt;=$C13)</formula>
    </cfRule>
  </conditionalFormatting>
  <dataValidations count="1">
    <dataValidation type="list" allowBlank="1" showInputMessage="1" showErrorMessage="1" sqref="E11:E34" xr:uid="{4EA417E2-AE6D-4100-9D81-021FA4E877D4}">
      <formula1>$A$47:$A$49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2B774A-880A-4E0B-B251-E2B3E6FA1B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F13:G34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Pratim Mazumder</dc:creator>
  <cp:lastModifiedBy>Partha Pratim Mazumder</cp:lastModifiedBy>
  <dcterms:created xsi:type="dcterms:W3CDTF">2015-06-05T18:17:20Z</dcterms:created>
  <dcterms:modified xsi:type="dcterms:W3CDTF">2026-02-11T13:01:05Z</dcterms:modified>
</cp:coreProperties>
</file>